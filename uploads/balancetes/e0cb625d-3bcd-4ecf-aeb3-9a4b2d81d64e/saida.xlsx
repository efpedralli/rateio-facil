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8">
    <numFmt numFmtId="5" formatCode="&quot;R$&quot;\ #,##0;\-&quot;R$&quot;\ #,##0"/>
    <numFmt numFmtId="6" formatCode="&quot;R$&quot;\ #,##0;[Red]\-&quot;R$&quot;\ #,##0"/>
    <numFmt numFmtId="7" formatCode="&quot;R$&quot;\ #,##0.00;\-&quot;R$&quot;\ #,##0.00"/>
    <numFmt numFmtId="8" formatCode="&quot;R$&quot;\ #,##0.00;[Red]\-&quot;R$&quot;\ #,##0.00"/>
    <numFmt numFmtId="41" formatCode="_-* #,##0_-;\-* #,##0_-;_-* &quot;-&quot;_-;_-@_-"/>
    <numFmt numFmtId="42" formatCode="_-&quot;R$&quot;\ * #,##0_-;\-&quot;R$&quot;\ * #,##0_-;_-&quot;R$&quot;\ * &quot;-&quot;_-;_-@_-"/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&quot;R$&quot;#,##0;\-&quot;R$&quot;#,##0"/>
    <numFmt numFmtId="165" formatCode="&quot;R$&quot;#,##0;[Red]\-&quot;R$&quot;#,##0"/>
    <numFmt numFmtId="166" formatCode="&quot;R$&quot;#,##0.00;\-&quot;R$&quot;#,##0.00"/>
    <numFmt numFmtId="167" formatCode="&quot;R$&quot;#,##0.00;[Red]\-&quot;R$&quot;#,##0.00"/>
    <numFmt numFmtId="168" formatCode="_-&quot;R$&quot;* #,##0_-;\-&quot;R$&quot;* #,##0_-;_-&quot;R$&quot;* &quot;-&quot;_-;_-@_-"/>
    <numFmt numFmtId="169" formatCode="_-&quot;R$&quot;* #,##0.00_-;\-&quot;R$&quot;* #,##0.00_-;_-&quot;R$&quot;* &quot;-&quot;??_-;_-@_-"/>
    <numFmt numFmtId="170" formatCode="&quot;R$ &quot;#,##0_);\(&quot;R$ &quot;#,##0\)"/>
    <numFmt numFmtId="171" formatCode="&quot;R$ &quot;#,##0_);[Red]\(&quot;R$ &quot;#,##0\)"/>
    <numFmt numFmtId="172" formatCode="&quot;R$ &quot;#,##0.00_);\(&quot;R$ &quot;#,##0.00\)"/>
    <numFmt numFmtId="173" formatCode="&quot;R$ &quot;#,##0.00_);[Red]\(&quot;R$ &quot;#,##0.00\)"/>
    <numFmt numFmtId="174" formatCode="_(&quot;R$ &quot;* #,##0_);_(&quot;R$ &quot;* \(#,##0\);_(&quot;R$ &quot;* &quot;-&quot;_);_(@_)"/>
    <numFmt numFmtId="175" formatCode="_(* #,##0_);_(* \(#,##0\);_(* &quot;-&quot;_);_(@_)"/>
    <numFmt numFmtId="176" formatCode="_(&quot;R$ &quot;* #,##0.00_);_(&quot;R$ &quot;* \(#,##0.00\);_(&quot;R$ &quot;* &quot;-&quot;??_);_(@_)"/>
    <numFmt numFmtId="177" formatCode="_(* #,##0.00_);_(* \(#,##0.00\);_(* &quot;-&quot;??_);_(@_)"/>
    <numFmt numFmtId="178" formatCode="&quot;Sim&quot;;&quot;Sim&quot;;&quot;Não&quot;"/>
    <numFmt numFmtId="179" formatCode="&quot;Verdadeiro&quot;;&quot;Verdadeiro&quot;;&quot;Falso&quot;"/>
    <numFmt numFmtId="180" formatCode="&quot;Ativado&quot;;&quot;Ativado&quot;;&quot;Desativado&quot;"/>
    <numFmt numFmtId="181" formatCode="[$€-2]\ #,##0.00_);[Red]\([$€-2]\ #,##0.00\)"/>
    <numFmt numFmtId="182" formatCode="[$-416]dddd\,\ d&quot; de &quot;mmmm&quot; de &quot;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"/>
  <sheetViews>
    <sheetView workbookViewId="0" rightToLeft="0"/>
  </sheetViews>
  <sheetData>
    <row r="1" ht="0.75" customHeight="1"/>
    <row r="2" ht="17.25" customHeight="1"/>
    <row r="3" ht="20.25" customHeight="1"/>
    <row r="4" ht="19.5" customHeight="1"/>
    <row r="5" ht="13.65" customHeight="1"/>
    <row r="6" ht="13.65" customHeight="1"/>
    <row r="7" ht="14.4" customHeight="1"/>
    <row r="8" ht="12" customHeight="1">
      <c r="A8" t="str">
        <v>CONDOMÍNIO RESIDENCIAL BOULEVARD DAS PALMEIRAS</v>
      </c>
    </row>
    <row r="9" ht="12" customHeight="1">
      <c r="A9" t="str">
        <v>BALANCETE MENSAL</v>
      </c>
    </row>
    <row r="10" ht="12" customHeight="1">
      <c r="A10" t="str">
        <v>COMPETÊNCIA 01/01/2026 a 31/01/2026</v>
      </c>
    </row>
    <row r="11" ht="12" customHeight="1">
      <c r="C11" t="str">
        <v>(+) RECEITAS MENSAIS</v>
      </c>
    </row>
    <row r="12" ht="12" customHeight="1">
      <c r="C12" t="str">
        <v>ARRECADAÇÃO MENSAL - FUNDO DE OBRA - MÊS  ANTERIOR</v>
      </c>
      <c r="L12">
        <v>4840</v>
      </c>
    </row>
    <row r="13" ht="12" customHeight="1">
      <c r="C13" t="str">
        <v>ARRECADAÇÃO MENSAL - POUPANÇA PERMANENTE - MÊS ANTERIOR</v>
      </c>
      <c r="L13">
        <v>2200</v>
      </c>
    </row>
    <row r="14" ht="12" customHeight="1">
      <c r="C14" t="str">
        <v>ARRECADAÇÃO MENSAL - FLUXO DE CAIXA DE MANUTENÇÃO - MÊS ANTERIOR</v>
      </c>
      <c r="L14">
        <v>1760</v>
      </c>
    </row>
    <row r="15" ht="12" customHeight="1">
      <c r="C15" t="str">
        <v>TOTAL</v>
      </c>
      <c r="L15" s="1">
        <v>44490.39</v>
      </c>
    </row>
    <row r="16" ht="12" customHeight="1">
      <c r="C16" t="str">
        <v>(+) RECEITAS DE COTAS</v>
      </c>
    </row>
    <row r="17" ht="12" customHeight="1">
      <c r="C17" t="str">
        <v>CONSUMO INDIVIDUAL DE ÁGUA - MÊS ANTERIOR</v>
      </c>
      <c r="L17">
        <v>5222.89</v>
      </c>
    </row>
    <row r="18" ht="12" customHeight="1">
      <c r="C18" t="str">
        <v>DESPESAS ORDINÁRIAS - MÊS ANTERIOR</v>
      </c>
      <c r="L18">
        <v>11405.68</v>
      </c>
    </row>
    <row r="19" ht="12" customHeight="1">
      <c r="C19" t="str">
        <v>TAXA DE UTILIZAÇÃO DO SALÃO DE FESTAS - APTO 64</v>
      </c>
      <c r="L19">
        <v>163.62</v>
      </c>
    </row>
    <row r="20" ht="12" customHeight="1">
      <c r="C20" t="str">
        <v>TOTAL</v>
      </c>
      <c r="L20" s="1">
        <v>50297.79</v>
      </c>
    </row>
    <row r="21" ht="12" customHeight="1">
      <c r="C21" t="str">
        <v>(+) RECEITAS FINANCEIRAS</v>
      </c>
    </row>
    <row r="22" ht="12" customHeight="1">
      <c r="C22" t="str">
        <v>RENDIMENTO PROVISIONADO: JUROS - IRRF DE APLICAÇÃO FINANCEIRA</v>
      </c>
      <c r="L22">
        <v>938.98</v>
      </c>
    </row>
    <row r="23" ht="12" customHeight="1">
      <c r="C23" t="str">
        <v>RENDIMENTO - JUROS POUPANÇA</v>
      </c>
      <c r="L23">
        <v>363.34</v>
      </c>
    </row>
    <row r="24" ht="12" customHeight="1">
      <c r="C24" t="str">
        <v>RESGATE DESTINADO À ENTRADA 50% COMPRA DA PORTA PRINCIPAL DO HALL</v>
      </c>
      <c r="L24">
        <v>7475</v>
      </c>
    </row>
    <row r="25" ht="11.25" customHeight="1">
      <c r="C25" t="str">
        <v>TOTAL</v>
      </c>
      <c r="L25" s="1">
        <v>44490.39</v>
      </c>
    </row>
    <row r="26" ht="11.25" customHeight="1">
      <c r="C26" t="str">
        <v>TOTAL RECEITAS DO MÊS</v>
      </c>
      <c r="L26">
        <f>L15+L20+L25</f>
        <v>34369.509999999995</v>
      </c>
    </row>
    <row r="27" ht="11.25" customHeight="1">
      <c r="C27" t="str">
        <v>(-) DESPESAS DIVERSAS</v>
      </c>
    </row>
    <row r="28" ht="11.25" customHeight="1">
      <c r="C28" t="str">
        <v>MATERIAL DE LIMPEZA PARA O CONDOMÍNIO - DIVERSOS - NF 26401</v>
      </c>
      <c r="L28">
        <v>551.22</v>
      </c>
    </row>
    <row r="29" ht="11.25" customHeight="1">
      <c r="C29" t="str">
        <v>MENSALIDADE SEGLINE - CERCA ELÉTRICA E SERVIÇOS POR EVENTO</v>
      </c>
      <c r="L29">
        <v>224.63</v>
      </c>
    </row>
    <row r="30" ht="11.25" customHeight="1">
      <c r="C30" t="str">
        <v>(-) DESPESAS COM MANUTENÇÃO</v>
      </c>
    </row>
    <row r="31" ht="11.25" customHeight="1">
      <c r="C31" t="str">
        <v>SERVIÇOS DE LIMPEZA CONDOMINIAL - EMPRESA TERCEIRIZADA</v>
      </c>
      <c r="L31">
        <v>2911.02</v>
      </c>
    </row>
    <row r="32" ht="11.25" customHeight="1">
      <c r="C32" t="str">
        <v>MANUTENÇÃO MENSAL DO ELEVADOR - 9140483</v>
      </c>
      <c r="L32">
        <v>540.85</v>
      </c>
    </row>
    <row r="33" ht="11.25" customHeight="1">
      <c r="C33" t="str">
        <v>(-) TARIFAS BANCÁRIAS</v>
      </c>
    </row>
    <row r="34" ht="11.25" customHeight="1">
      <c r="C34" t="str">
        <v>COTA CAPITAL SOCIAL SICREDI - MENSAL</v>
      </c>
      <c r="L34">
        <v>16</v>
      </c>
    </row>
    <row r="35" ht="11.25" customHeight="1">
      <c r="C35" t="str">
        <v>TARIFATARIFA PACOTE DE SERVIÇOS SICREDI PESSOA JURÍDICA</v>
      </c>
      <c r="L35">
        <v>15.6</v>
      </c>
    </row>
    <row r="36" ht="11.25" customHeight="1">
      <c r="C36" t="str">
        <v>(-) GARANTIDORA</v>
      </c>
    </row>
    <row r="37" ht="11.25" customHeight="1">
      <c r="C37" t="str">
        <v>HONORÁRIO DA GARANTIDORA FINANCEIRA (5%)</v>
      </c>
      <c r="L37">
        <v>1216.58</v>
      </c>
    </row>
    <row r="38" ht="11.25" customHeight="1">
      <c r="C38" t="str">
        <v>TARIFA BANCÁRIA PARA EMISSÃO DE BOLETOS BANCÁRIOS - GARANTIDORA</v>
      </c>
      <c r="L38">
        <v>44</v>
      </c>
    </row>
    <row r="39" ht="11.25" customHeight="1">
      <c r="C39" t="str">
        <v>(-) IMPOSTOS E TAXAS</v>
      </c>
    </row>
    <row r="40" ht="11.25" customHeight="1">
      <c r="C40" t="str">
        <v>GUIA DE PREVIDÊNCIA SOCIAL AO INSS E OUTRAS ENTIDADES</v>
      </c>
      <c r="L40">
        <v>846.92</v>
      </c>
    </row>
    <row r="41" ht="11.25" customHeight="1">
      <c r="C41" t="str">
        <v>GUIA DE CSLL/COFINS/PIS</v>
      </c>
      <c r="L41">
        <v>26.38</v>
      </c>
    </row>
    <row r="42" ht="11.25" customHeight="1">
      <c r="C42" t="str">
        <v>GUIA DE PREVIDÊNCIA SOCIAL AO INSS E OUTRAS ENTIDADES</v>
      </c>
      <c r="L42">
        <v>408.69</v>
      </c>
    </row>
    <row r="43" ht="11.25" customHeight="1">
      <c r="C43" t="str">
        <v>(-) DESPESAS DE CONSUMO</v>
      </c>
    </row>
    <row r="44" ht="11.25" customHeight="1">
      <c r="C44" t="str">
        <v>INTERNET PARA AS CÂMERAS DE SEGURANÇA - FATURA OI 2037048648</v>
      </c>
      <c r="L44">
        <v>122.33</v>
      </c>
    </row>
    <row r="45" ht="11.25" customHeight="1">
      <c r="C45" t="str">
        <v>FORNECIMENTO DE ENERGIA P/ ÁREAS COMUNS - 95231544</v>
      </c>
      <c r="L45">
        <v>681.56</v>
      </c>
    </row>
    <row r="46" ht="11.25" customHeight="1">
      <c r="C46" t="str">
        <v>FORNEC. DE ENERGIA P/ ESCADA PRESSURIZADA - 95822321</v>
      </c>
      <c r="L46">
        <v>90.52</v>
      </c>
    </row>
    <row r="47" ht="11.25" customHeight="1">
      <c r="C47" t="str">
        <v>(-) DESPESAS ADMINISTRATIVAS</v>
      </c>
    </row>
    <row r="48" ht="11.25" customHeight="1">
      <c r="C48" t="str">
        <v>DISTRIBUIÇÃO DE ATA - 34ª ASSEMBLEIA GERAL ORDINÁRIA</v>
      </c>
      <c r="L48">
        <v>24.25</v>
      </c>
    </row>
    <row r="49" ht="11.25" customHeight="1">
      <c r="C49" t="str">
        <v>REGISTRO DE ATA - 34ª ASSEMBLEIA GERAL ORDINÁRIA</v>
      </c>
      <c r="L49">
        <v>127.5</v>
      </c>
    </row>
    <row r="50" ht="11.25" customHeight="1">
      <c r="C50" t="str">
        <v>SERVIÇO DE GESTÃO ADMINISTRATIVA CONDOMINIAL - NF 47</v>
      </c>
      <c r="L50">
        <v>548.57</v>
      </c>
    </row>
    <row r="51" ht="11.25" customHeight="1">
      <c r="C51" t="str">
        <v>HONORÁRIOS PELOS SERVIÇOS DE SÍNDICO</v>
      </c>
      <c r="L51">
        <v>2431.5</v>
      </c>
    </row>
    <row r="52" ht="11.25" customHeight="1">
      <c r="C52" t="str">
        <v>TOTAL DESPESAS ORDINÁRIAS</v>
      </c>
      <c r="L52">
        <f>L28+L29+L31+L32+L34+L35+L37+L38+L40+L41+L42+L44+L45+L46+L48+L51+L49+L50</f>
        <v>10828.12</v>
      </c>
    </row>
    <row r="53" ht="11.25" customHeight="1">
      <c r="C53" t="str">
        <v>(-) ÁGUA E ESGOTO - RATEIO EFETUADO CONFORME CONSUMO DA UNIDADE</v>
      </c>
    </row>
    <row r="54" ht="11.25" customHeight="1">
      <c r="C54" t="str">
        <v>CONSUMO DE ÁGUA E ESGOTO MÊS - 3253534</v>
      </c>
      <c r="L54">
        <v>5122.2</v>
      </c>
    </row>
    <row r="55" ht="11.25" customHeight="1">
      <c r="C55" t="str">
        <v>TOTAL DESPESAS ÁGUA E ESGOTO</v>
      </c>
      <c r="L55">
        <f>L54</f>
        <v>5122.2</v>
      </c>
    </row>
    <row r="56" ht="11.25" customHeight="1">
      <c r="C56" t="str">
        <v>(-) MANUTENÇÕES DIVERSAS - FUNDO DE MANUTENÇÃO</v>
      </c>
    </row>
    <row r="57" ht="11.25" customHeight="1">
      <c r="C57" t="str">
        <v>PREST. DE SERVIÇOS DE MANUT. DO SISTEMA DE INCÊNDIO - NF 648 - PARCELA 02/02</v>
      </c>
      <c r="L57">
        <v>361.09</v>
      </c>
    </row>
    <row r="58" ht="11.25" customHeight="1">
      <c r="C58" t="str">
        <v>MATERIAL PARA A MANUTENÇÃO PAINEL ELETRÔNICO CISTERNAS</v>
      </c>
      <c r="L58">
        <v>348</v>
      </c>
    </row>
    <row r="59" ht="11.25" customHeight="1">
      <c r="C59" t="str">
        <v>SERVIÇO DE REINSTALAÇÃO ELETROIMÃ E MOLA AÉREA PORTA HALL</v>
      </c>
      <c r="L59">
        <v>220</v>
      </c>
    </row>
    <row r="60" ht="11.25" customHeight="1">
      <c r="C60" t="str">
        <v>SERVIÇO DE MANUTENÇÃO PAINEL ELETRÔNICO CISTERNAS + PLACA PORTÃO TÉRREO</v>
      </c>
      <c r="L60">
        <v>480</v>
      </c>
    </row>
    <row r="61" ht="11.25" customHeight="1">
      <c r="C61" t="str">
        <v>ENTRADA 50% COMPRA PORTA PRINCIPAL DO HALL</v>
      </c>
      <c r="L61">
        <v>7475</v>
      </c>
    </row>
    <row r="62" ht="11.25" customHeight="1">
      <c r="C62" t="str">
        <v>TOTAL DESPESAS FUNDO DE MANUTENÇÃO</v>
      </c>
      <c r="L62">
        <f>SUM(L57:L61)</f>
        <v>8884.09</v>
      </c>
    </row>
    <row r="63" ht="11.25" customHeight="1">
      <c r="C63" t="str">
        <v>TOTAL DESPESAS DO MÊS</v>
      </c>
      <c r="L63">
        <f>L52+L55+L62</f>
        <v>24834.41</v>
      </c>
    </row>
    <row r="64" ht="11.25" customHeight="1">
      <c r="C64" t="str">
        <v>RESUMO DO MÊS</v>
      </c>
    </row>
    <row r="65" ht="11.25" customHeight="1">
      <c r="C65" t="str">
        <v>RECEITAS</v>
      </c>
      <c r="L65">
        <f>L26</f>
        <v>34369.509999999995</v>
      </c>
    </row>
    <row r="66" ht="11.25" customHeight="1">
      <c r="C66" t="str">
        <v>DESPESAS</v>
      </c>
      <c r="L66" s="1">
        <v>439.6</v>
      </c>
    </row>
    <row r="67" ht="11.25" customHeight="1">
      <c r="C67" t="str">
        <v>TOTAL (RECEITAS - DESPESAS)</v>
      </c>
      <c r="L67">
        <f>L65-L66</f>
        <v>9535.099999999995</v>
      </c>
    </row>
    <row r="68" ht="11.25" customHeight="1">
      <c r="C68" t="str">
        <v>RESUMO DAS CONTAS - POSIÇÃO CONSOLIDADA DA CONTA PESSOA JURÍDICA - SICREDI</v>
      </c>
    </row>
    <row r="69" ht="11.25" customHeight="1">
      <c r="C69" t="str">
        <v>BANCO CONTA CHAMADA DE CAPITAL - FUNDO DE OBRA 31ª AGE</v>
      </c>
    </row>
    <row r="70" ht="11.25" customHeight="1">
      <c r="C70" t="str">
        <v>SALDO ANTERIOR</v>
      </c>
    </row>
    <row r="71" ht="11.25" customHeight="1">
      <c r="C71" t="str">
        <v>ACUMULADO COMPETÊNCIA ANTERIOR-FUNDO DE OBRA</v>
      </c>
      <c r="L71">
        <v>89988.59</v>
      </c>
    </row>
    <row r="72" ht="11.25" customHeight="1">
      <c r="C72" t="str">
        <v>ENTRADAS</v>
      </c>
    </row>
    <row r="73" ht="11.25" customHeight="1">
      <c r="C73" t="str">
        <v>RECEITA MENSAL - FUNDO DE OBRA</v>
      </c>
      <c r="L73">
        <v>4840</v>
      </c>
    </row>
    <row r="74" ht="11.25" customHeight="1">
      <c r="C74" t="str">
        <v>RECEITA FINANCEIRA - RENDIMENTO APLICAÇÃO (FUNDO DE OBRA)</v>
      </c>
      <c r="L74">
        <v>938.98</v>
      </c>
    </row>
    <row r="75" ht="11.25" customHeight="1">
      <c r="C75" t="str">
        <v>SALDO ATUAL - FUNDO DE OBRA</v>
      </c>
      <c r="L75">
        <f>L71+L73+L74</f>
        <v>95767.56999999999</v>
      </c>
    </row>
    <row r="76" ht="11.25" customHeight="1">
      <c r="C76" t="str">
        <v>BANCO CONTA FUNDO DE RESERVA DE POUPANÇA PERMANENTE</v>
      </c>
    </row>
    <row r="77" ht="11.25" customHeight="1">
      <c r="C77" t="str">
        <v>SALDO ANTERIOR</v>
      </c>
    </row>
    <row r="78" ht="11.25" customHeight="1">
      <c r="C78" t="str">
        <v>ACUMULADO COMPETÊNCIA ANTERIOR-FUNDO DE RESERVA DE POUPANÇA PERMANENTE</v>
      </c>
      <c r="L78">
        <v>69593.37</v>
      </c>
    </row>
    <row r="79" ht="11.25" customHeight="1">
      <c r="C79" t="str">
        <v>ENTRADAS</v>
      </c>
    </row>
    <row r="80" ht="11.25" customHeight="1">
      <c r="C80" t="str">
        <v>RECEITA MENSAL - FUNDO DE RESERVA DE POUPANÇA PERMANENTE</v>
      </c>
      <c r="L80">
        <v>2200</v>
      </c>
    </row>
    <row r="81" ht="11.25" customHeight="1">
      <c r="C81" t="str">
        <v>RECEITA FINANCEIRA - RENDIMENTO POUPANÇA (RESERVA PERMANENTE)</v>
      </c>
      <c r="L81">
        <v>363.34</v>
      </c>
    </row>
    <row r="82" ht="11.25" customHeight="1">
      <c r="C82" t="str">
        <v>SAÍDAS</v>
      </c>
    </row>
    <row r="83" ht="11.25" customHeight="1">
      <c r="C83" t="str">
        <v>RESGATES - COMPRA PORTA PRINCIPAL DO HALL</v>
      </c>
      <c r="L83">
        <v>7475</v>
      </c>
    </row>
    <row r="84" ht="11.25" customHeight="1">
      <c r="C84" t="str">
        <v>SALDO ATUAL - FUNDO DE RESERVA DE POUPANÇA PERMANENTE</v>
      </c>
      <c r="L84">
        <f>L78+L80+L81-L83</f>
        <v>64681.70999999999</v>
      </c>
    </row>
    <row r="85" ht="11.25" customHeight="1">
      <c r="C85" t="str">
        <v>BANCO CONTA CORRENTE - FLUXO DE CAIXA DE MANUTENÇÃO</v>
      </c>
    </row>
    <row r="86" ht="11.25" customHeight="1">
      <c r="C86" t="str">
        <v>SALDO ANTERIOR</v>
      </c>
    </row>
    <row r="87" ht="11.25" customHeight="1">
      <c r="C87" t="str">
        <v>ACUMULADO COMPETÊNCIA ANTERIOR-CONTA CORRENTE</v>
      </c>
      <c r="L87">
        <v>5407.2</v>
      </c>
    </row>
    <row r="88" ht="11.25" customHeight="1">
      <c r="C88" t="str">
        <v>ENTRADAS</v>
      </c>
    </row>
    <row r="89" ht="11.25" customHeight="1">
      <c r="C89" t="str">
        <v>RECEITA DE COTAS - LEITURA DE ÁGUA INDIVIDUAL</v>
      </c>
      <c r="L89">
        <v>5222.89</v>
      </c>
    </row>
    <row r="90" ht="11.25" customHeight="1">
      <c r="C90" t="str">
        <v>RECEITA DE COTAS - TAXA DE CONDOMÍNIO - DESPESAS RATEADAS MÊS ANTERIOR</v>
      </c>
      <c r="L90">
        <v>11405.68</v>
      </c>
    </row>
    <row r="91" ht="11.25" customHeight="1">
      <c r="C91" t="str">
        <v>RECEITA MENSAL - FLUXO DE CAIXA DE MANTENÇÃO</v>
      </c>
      <c r="L91">
        <v>1760</v>
      </c>
    </row>
    <row r="92" ht="11.25" customHeight="1">
      <c r="C92" t="str">
        <v>RECEITA MENSAL - ALUGUEL SALÃO DE FESTAS</v>
      </c>
      <c r="L92">
        <v>163.62</v>
      </c>
    </row>
    <row r="93" ht="11.25" customHeight="1">
      <c r="C93" t="str">
        <v>RECEITA FINANCEIRA - RESGATE POUPANÇA (RESERVA PERMANENTE)</v>
      </c>
      <c r="L93">
        <v>7475</v>
      </c>
    </row>
    <row r="94" ht="11.25" customHeight="1">
      <c r="C94" t="str">
        <v>SAÍDAS</v>
      </c>
    </row>
    <row r="95" ht="11.25" customHeight="1">
      <c r="C95" t="str">
        <v xml:space="preserve">DESPESAS ORDINÁRIAS </v>
      </c>
      <c r="L95">
        <v>10828.12</v>
      </c>
    </row>
    <row r="96" ht="11.25" customHeight="1">
      <c r="C96" t="str">
        <v>DESPESAS ÁGUA E ESGOTO</v>
      </c>
      <c r="L96">
        <v>5122.2</v>
      </c>
    </row>
    <row r="97" ht="11.25" customHeight="1">
      <c r="C97" t="str">
        <v>DESPESAS FUNDO DE MANUTENÇÃO</v>
      </c>
      <c r="L97">
        <v>8884.09</v>
      </c>
    </row>
    <row r="98" ht="11.25" customHeight="1">
      <c r="C98" t="str">
        <v>SALDO ATUAL - CONTA CORRENTE - FLUXO DE CAIXA DE MANUTENÇÃO</v>
      </c>
      <c r="L98">
        <v>6599.98</v>
      </c>
    </row>
    <row r="99" ht="11.25" customHeight="1">
      <c r="C99" t="str">
        <v>TOTAL DISPONÍVEL - APLICAÇÃO FINANCEIRA + POUPANÇA + SALDO EM CONTA CORRENTE</v>
      </c>
      <c r="L99">
        <v>167049.26</v>
      </c>
    </row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2" customHeight="1"/>
    <row r="108" ht="9.75" customHeight="1"/>
    <row r="110" ht="3" customHeight="1">
      <c r="M110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1" ht="409.6000000000001" customHeight="1"/>
    <row r="112" ht="16.5" customHeight="1"/>
  </sheetData>
  <mergeCells count="3">
    <mergeCell ref="A5:L5"/>
    <mergeCell ref="A7:L7"/>
    <mergeCell ref="A6:L6"/>
  </mergeCells>
  <pageMargins left="0.6694444444444444" right="0.27569444444444446" top="0.39375" bottom="0.39375" header="0.5118055555555555" footer="0.5118055555555555"/>
  <ignoredErrors>
    <ignoredError numberStoredAsText="1" sqref="A1:O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2010-04-13T22:28:21Z</dcterms:created>
  <dcterms:modified xsi:type="dcterms:W3CDTF">2026-03-25T17:40:15Z</dcterms:modified>
  <cp:lastModifiedBy>Eduardo Pedralli</cp:lastModifiedBy>
  <cp:lastPrinted>2010-12-08T14:34:47Z</cp:lastPrinted>
  <dc:creator>davi</dc:creator>
</cp:coreProperties>
</file>